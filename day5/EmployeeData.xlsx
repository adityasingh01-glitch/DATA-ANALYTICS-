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nurag\OneDrive\Desktop\day5\"/>
    </mc:Choice>
  </mc:AlternateContent>
  <xr:revisionPtr revIDLastSave="0" documentId="13_ncr:1_{C5F6F8C0-9B6E-44E4-82DB-2BDBF3106AAB}" xr6:coauthVersionLast="47" xr6:coauthVersionMax="47" xr10:uidLastSave="{00000000-0000-0000-0000-000000000000}"/>
  <bookViews>
    <workbookView xWindow="-108" yWindow="-108" windowWidth="23256" windowHeight="12456" xr2:uid="{5BB4E9CA-2A20-4915-921F-27426D98AF5B}"/>
  </bookViews>
  <sheets>
    <sheet name="Sheet1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1" l="1"/>
  <c r="F2" i="1"/>
  <c r="F3" i="1"/>
  <c r="F4" i="1"/>
  <c r="F5" i="1"/>
  <c r="F6" i="1"/>
  <c r="F7" i="1"/>
  <c r="F8" i="1"/>
  <c r="F9" i="1"/>
  <c r="F10" i="1"/>
  <c r="F11" i="1"/>
  <c r="A20" i="1"/>
  <c r="E17" i="1"/>
  <c r="C17" i="1"/>
  <c r="A17" i="1"/>
  <c r="E14" i="1"/>
  <c r="A14" i="1"/>
  <c r="C14" i="1"/>
</calcChain>
</file>

<file path=xl/sharedStrings.xml><?xml version="1.0" encoding="utf-8"?>
<sst xmlns="http://schemas.openxmlformats.org/spreadsheetml/2006/main" count="84" uniqueCount="72">
  <si>
    <t>Employee ID</t>
  </si>
  <si>
    <t>Employee Name</t>
  </si>
  <si>
    <t>Department</t>
  </si>
  <si>
    <t>Designation</t>
  </si>
  <si>
    <t>Salary</t>
  </si>
  <si>
    <t>City</t>
  </si>
  <si>
    <t>Email</t>
  </si>
  <si>
    <t>EMP101</t>
  </si>
  <si>
    <t>Aditya Singh</t>
  </si>
  <si>
    <t>IT</t>
  </si>
  <si>
    <t>Data Analyst</t>
  </si>
  <si>
    <t>Lucknow</t>
  </si>
  <si>
    <t>aditya@company.com</t>
  </si>
  <si>
    <t>EMP102</t>
  </si>
  <si>
    <t>Rahul Sharma</t>
  </si>
  <si>
    <t>HR</t>
  </si>
  <si>
    <t>HR Executive</t>
  </si>
  <si>
    <t>Delhi</t>
  </si>
  <si>
    <t>rahul@company.com</t>
  </si>
  <si>
    <t>EMP103</t>
  </si>
  <si>
    <t>Priya Verma</t>
  </si>
  <si>
    <t>Sales</t>
  </si>
  <si>
    <t>Sales Executive</t>
  </si>
  <si>
    <t>Mumbai</t>
  </si>
  <si>
    <t>priya@company.com</t>
  </si>
  <si>
    <t>EMP104</t>
  </si>
  <si>
    <t>Neha Gupta</t>
  </si>
  <si>
    <t>Finance</t>
  </si>
  <si>
    <t>Accountant</t>
  </si>
  <si>
    <t>Noida</t>
  </si>
  <si>
    <t>neha@company.com</t>
  </si>
  <si>
    <t>EMP105</t>
  </si>
  <si>
    <t>Aman Yadav</t>
  </si>
  <si>
    <t>Software Engineer</t>
  </si>
  <si>
    <t>Pune</t>
  </si>
  <si>
    <t>aman@company.com</t>
  </si>
  <si>
    <t>EMP106</t>
  </si>
  <si>
    <t>Riya Sharma</t>
  </si>
  <si>
    <t>Manager</t>
  </si>
  <si>
    <t>Jaipur</t>
  </si>
  <si>
    <t>riya@company.com</t>
  </si>
  <si>
    <t>EMP107</t>
  </si>
  <si>
    <t>Mohit Kumar</t>
  </si>
  <si>
    <t>Chandigarh</t>
  </si>
  <si>
    <t>mohit@company.com</t>
  </si>
  <si>
    <t>EMP108</t>
  </si>
  <si>
    <t>Sneha Patel</t>
  </si>
  <si>
    <t>Marketing</t>
  </si>
  <si>
    <t>Marketing Executive</t>
  </si>
  <si>
    <t>Ahmedabad</t>
  </si>
  <si>
    <t>sneha@company.com</t>
  </si>
  <si>
    <t>EMP109</t>
  </si>
  <si>
    <t>Karan Mehta</t>
  </si>
  <si>
    <t>Bengaluru</t>
  </si>
  <si>
    <t>karan@company.com</t>
  </si>
  <si>
    <t>EMP110</t>
  </si>
  <si>
    <t>Pooja Singh</t>
  </si>
  <si>
    <t>Finance Manager</t>
  </si>
  <si>
    <t>Indore</t>
  </si>
  <si>
    <t>pooja@company.com</t>
  </si>
  <si>
    <t xml:space="preserve">Total Salary </t>
  </si>
  <si>
    <t>Average Salary</t>
  </si>
  <si>
    <t>Highest Salary</t>
  </si>
  <si>
    <t>Lowest Salary</t>
  </si>
  <si>
    <t>Count Employee</t>
  </si>
  <si>
    <t>HR Employee</t>
  </si>
  <si>
    <t>Total Salary (Sales)</t>
  </si>
  <si>
    <t>Row Labels</t>
  </si>
  <si>
    <t>Grand Total</t>
  </si>
  <si>
    <t>Sum of Salary</t>
  </si>
  <si>
    <t>Bonus</t>
  </si>
  <si>
    <t>Average Salary(IT)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</si>
</sst>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8">
    <xf numFmtId="0" fontId="0" fillId="0" borderId="0" xfId="0"/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0" xfId="0" applyFont="1"/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4" fillId="0" borderId="0" xfId="0" applyFont="1"/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2" fillId="0" borderId="0" xfId="0" applyFont="1"/>
    <xf numFmtId="0" fontId="4" fillId="2" borderId="8" xfId="0" applyFont="1" applyFill="1" applyBorder="1" applyAlignment="1">
      <alignment horizontal="center" vertical="center" wrapText="1"/>
    </xf>
    <xf numFmtId="0" fontId="4" fillId="2" borderId="0" xfId="0" applyFont="1" applyFill="1"/>
    <xf numFmtId="164" fontId="7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6" fillId="2" borderId="10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164" fontId="7" fillId="0" borderId="0" xfId="0" applyNumberFormat="1" applyFont="1"/>
    <xf numFmtId="164" fontId="7" fillId="3" borderId="1" xfId="0" applyNumberFormat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7" fillId="2" borderId="0" xfId="0" applyFont="1" applyFill="1" applyAlignment="1">
      <alignment horizontal="center"/>
    </xf>
    <xf numFmtId="0" fontId="0" fillId="0" borderId="0" xfId="0" applyNumberFormat="1"/>
  </cellXfs>
  <cellStyles count="2">
    <cellStyle name="Hyperlink" xfId="1" builtinId="8"/>
    <cellStyle name="Normal" xfId="0" builtinId="0"/>
  </cellStyles>
  <dxfs count="14">
    <dxf>
      <fill>
        <patternFill>
          <bgColor rgb="FFFF0000"/>
        </patternFill>
      </fill>
    </dxf>
    <dxf>
      <font>
        <b/>
        <i val="0"/>
        <strike val="0"/>
        <condense val="0"/>
        <extend val="0"/>
        <outline val="0"/>
        <shadow val="0"/>
        <u/>
        <vertAlign val="baseline"/>
        <sz val="16"/>
        <color theme="1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[EmployeeData.xlsx]Sheet1!PivotTable4</c:name>
    <c:fmtId val="1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Sheet1!$L$3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Sheet1!$K$4:$K$9</c:f>
              <c:strCache>
                <c:ptCount val="5"/>
                <c:pt idx="0">
                  <c:v>Sales</c:v>
                </c:pt>
                <c:pt idx="1">
                  <c:v>Marketing</c:v>
                </c:pt>
                <c:pt idx="2">
                  <c:v>IT</c:v>
                </c:pt>
                <c:pt idx="3">
                  <c:v>HR</c:v>
                </c:pt>
                <c:pt idx="4">
                  <c:v>Finance</c:v>
                </c:pt>
              </c:strCache>
            </c:strRef>
          </c:cat>
          <c:val>
            <c:numRef>
              <c:f>Sheet1!$L$4:$L$9</c:f>
              <c:numCache>
                <c:formatCode>General</c:formatCode>
                <c:ptCount val="5"/>
                <c:pt idx="0">
                  <c:v>145000</c:v>
                </c:pt>
                <c:pt idx="1">
                  <c:v>50000</c:v>
                </c:pt>
                <c:pt idx="2">
                  <c:v>240000</c:v>
                </c:pt>
                <c:pt idx="3">
                  <c:v>130000</c:v>
                </c:pt>
                <c:pt idx="4">
                  <c:v>130000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A4-4C69-8D80-0A627A225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14301040"/>
        <c:axId val="1321273616"/>
      </c:barChart>
      <c:catAx>
        <c:axId val="191430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273616"/>
        <c:crosses val="autoZero"/>
        <c:auto val="1"/>
        <c:lblAlgn val="ctr"/>
        <c:lblOffset val="100"/>
        <c:noMultiLvlLbl val="0"/>
      </c:catAx>
      <c:valAx>
        <c:axId val="132127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30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[EmployeeData.xlsx]Sheet1!PivotTable4</c:name>
    <c:fmtId val="7"/>
  </c:pivotSource>
  <c:chart>
    <c:autoTitleDeleted val="1"/>
    <c:pivotFmts>
      <c:pivotFmt>
        <c:idx val="0"/>
        <c:dLbl>
          <c:idx val="0"/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4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5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6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7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6210990959463401"/>
          <c:y val="8.3111081564053529E-2"/>
          <c:w val="0.3944855293088364"/>
          <c:h val="0.84391966474471047"/>
        </c:manualLayout>
      </c:layout>
      <c:pieChart>
        <c:varyColors val="1"/>
        <c:ser>
          <c:idx val="0"/>
          <c:order val="0"/>
          <c:tx>
            <c:strRef>
              <c:f>Sheet1!$L$3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2DA0-48DB-A549-5E0A83DAB4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2DA0-48DB-A549-5E0A83DAB44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2DA0-48DB-A549-5E0A83DAB44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2DA0-48DB-A549-5E0A83DAB44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A-2DA0-48DB-A549-5E0A83DAB44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6-2DA0-48DB-A549-5E0A83DAB44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7-2DA0-48DB-A549-5E0A83DAB442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8-2DA0-48DB-A549-5E0A83DAB442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9-2DA0-48DB-A549-5E0A83DAB442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A-2DA0-48DB-A549-5E0A83DAB4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Sheet1!$K$4:$K$9</c:f>
              <c:strCache>
                <c:ptCount val="5"/>
                <c:pt idx="0">
                  <c:v>Sales</c:v>
                </c:pt>
                <c:pt idx="1">
                  <c:v>Marketing</c:v>
                </c:pt>
                <c:pt idx="2">
                  <c:v>IT</c:v>
                </c:pt>
                <c:pt idx="3">
                  <c:v>HR</c:v>
                </c:pt>
                <c:pt idx="4">
                  <c:v>Finance</c:v>
                </c:pt>
              </c:strCache>
            </c:strRef>
          </c:cat>
          <c:val>
            <c:numRef>
              <c:f>Sheet1!$L$4:$L$9</c:f>
              <c:numCache>
                <c:formatCode>General</c:formatCode>
                <c:ptCount val="5"/>
                <c:pt idx="0">
                  <c:v>145000</c:v>
                </c:pt>
                <c:pt idx="1">
                  <c:v>50000</c:v>
                </c:pt>
                <c:pt idx="2">
                  <c:v>240000</c:v>
                </c:pt>
                <c:pt idx="3">
                  <c:v>130000</c:v>
                </c:pt>
                <c:pt idx="4">
                  <c:v>130000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DA0-48DB-A549-5E0A83DAB44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1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[EmployeeData.xlsx]Sheet1!PivotTable4</c:name>
    <c:fmtId val="18"/>
  </c:pivotSource>
  <c:chart>
    <c:autoTitleDeleted val="1"/>
    <c:pivotFmts>
      <c:pivotFmt>
        <c:idx val="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Sheet1!$L$3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Sheet1!$K$4:$K$9</c:f>
              <c:strCache>
                <c:ptCount val="5"/>
                <c:pt idx="0">
                  <c:v>Sales</c:v>
                </c:pt>
                <c:pt idx="1">
                  <c:v>Marketing</c:v>
                </c:pt>
                <c:pt idx="2">
                  <c:v>IT</c:v>
                </c:pt>
                <c:pt idx="3">
                  <c:v>HR</c:v>
                </c:pt>
                <c:pt idx="4">
                  <c:v>Finance</c:v>
                </c:pt>
              </c:strCache>
            </c:strRef>
          </c:cat>
          <c:val>
            <c:numRef>
              <c:f>Sheet1!$L$4:$L$9</c:f>
              <c:numCache>
                <c:formatCode>General</c:formatCode>
                <c:ptCount val="5"/>
                <c:pt idx="0">
                  <c:v>145000</c:v>
                </c:pt>
                <c:pt idx="1">
                  <c:v>50000</c:v>
                </c:pt>
                <c:pt idx="2">
                  <c:v>240000</c:v>
                </c:pt>
                <c:pt idx="3">
                  <c:v>130000</c:v>
                </c:pt>
                <c:pt idx="4">
                  <c:v>130000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3E-4923-BCD2-C1C885F8AD0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74327536"/>
        <c:axId val="1089699184"/>
      </c:lineChart>
      <c:catAx>
        <c:axId val="167432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699184"/>
        <c:crosses val="autoZero"/>
        <c:auto val="1"/>
        <c:lblAlgn val="ctr"/>
        <c:lblOffset val="100"/>
        <c:noMultiLvlLbl val="0"/>
      </c:catAx>
      <c:valAx>
        <c:axId val="108969918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74327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130969</xdr:colOff>
      <xdr:row>23</xdr:row>
      <xdr:rowOff>178593</xdr:rowOff>
    </xdr:from>
    <xdr:to>
      <xdr:col>8</xdr:col>
      <xdr:colOff>35718</xdr:colOff>
      <xdr:row>43</xdr:row>
      <xdr:rowOff>35719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4BDE35-8976-BFA7-81D0-07FDC4C0DF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1452562</xdr:colOff>
      <xdr:row>44</xdr:row>
      <xdr:rowOff>80211</xdr:rowOff>
    </xdr:from>
    <xdr:to>
      <xdr:col>8</xdr:col>
      <xdr:colOff>452437</xdr:colOff>
      <xdr:row>68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A6BD089-C29F-C207-ECC7-1BD46E9C3B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611080</xdr:colOff>
      <xdr:row>46</xdr:row>
      <xdr:rowOff>23813</xdr:rowOff>
    </xdr:from>
    <xdr:to>
      <xdr:col>29</xdr:col>
      <xdr:colOff>361574</xdr:colOff>
      <xdr:row>67</xdr:row>
      <xdr:rowOff>142874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8F30149-C3C0-C155-7C69-6423245E72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rag" refreshedDate="46237.619945833336" createdVersion="8" refreshedVersion="8" minRefreshableVersion="3" recordCount="10" xr:uid="{87B11842-692D-495E-81A4-71B5D20C8E1C}">
  <cacheSource type="worksheet">
    <worksheetSource name="Table1"/>
  </cacheSource>
  <cacheFields count="7">
    <cacheField name="Employee ID" numFmtId="0">
      <sharedItems count="10">
        <s v="EMP101"/>
        <s v="EMP102"/>
        <s v="EMP103"/>
        <s v="EMP104"/>
        <s v="EMP105"/>
        <s v="EMP106"/>
        <s v="EMP107"/>
        <s v="EMP108"/>
        <s v="EMP109"/>
        <s v="EMP110"/>
      </sharedItems>
    </cacheField>
    <cacheField name="Employee Name" numFmtId="0">
      <sharedItems count="10">
        <s v="Aditya Singh"/>
        <s v="Rahul Sharma"/>
        <s v="Priya Verma"/>
        <s v="Neha Gupta"/>
        <s v="Aman Yadav"/>
        <s v="Riya Sharma"/>
        <s v="Mohit Kumar"/>
        <s v="Sneha Patel"/>
        <s v="Karan Mehta"/>
        <s v="Pooja Singh"/>
      </sharedItems>
    </cacheField>
    <cacheField name="Department" numFmtId="0">
      <sharedItems count="5">
        <s v="IT"/>
        <s v="HR"/>
        <s v="Sales"/>
        <s v="Finance"/>
        <s v="Marketing"/>
      </sharedItems>
    </cacheField>
    <cacheField name="Designation" numFmtId="0">
      <sharedItems count="8">
        <s v="Data Analyst"/>
        <s v="HR Executive"/>
        <s v="Sales Executive"/>
        <s v="Accountant"/>
        <s v="Software Engineer"/>
        <s v="Manager"/>
        <s v="Marketing Executive"/>
        <s v="Finance Manager"/>
      </sharedItems>
    </cacheField>
    <cacheField name="Salary" numFmtId="0">
      <sharedItems containsSemiMixedTypes="0" containsString="0" containsNumber="1" containsInteger="1" minValue="45000" maxValue="95000" count="10">
        <n v="65000"/>
        <n v="45000"/>
        <n v="55000"/>
        <n v="60000"/>
        <n v="80000"/>
        <n v="85000"/>
        <n v="90000"/>
        <n v="50000"/>
        <n v="95000"/>
        <n v="70000"/>
      </sharedItems>
    </cacheField>
    <cacheField name="City" numFmtId="0">
      <sharedItems count="10">
        <s v="Lucknow"/>
        <s v="Delhi"/>
        <s v="Mumbai"/>
        <s v="Noida"/>
        <s v="Pune"/>
        <s v="Jaipur"/>
        <s v="Chandigarh"/>
        <s v="Ahmedabad"/>
        <s v="Bengaluru"/>
        <s v="Indore"/>
      </sharedItems>
    </cacheField>
    <cacheField name="Email" numFmtId="0">
      <sharedItems count="10">
        <s v="aditya@company.com"/>
        <s v="rahul@company.com"/>
        <s v="priya@company.com"/>
        <s v="neha@company.com"/>
        <s v="aman@company.com"/>
        <s v="riya@company.com"/>
        <s v="mohit@company.com"/>
        <s v="sneha@company.com"/>
        <s v="karan@company.com"/>
        <s v="pooja@company.co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x v="0"/>
    <x v="0"/>
    <x v="0"/>
    <x v="0"/>
    <x v="0"/>
  </r>
  <r>
    <x v="1"/>
    <x v="1"/>
    <x v="1"/>
    <x v="1"/>
    <x v="1"/>
    <x v="1"/>
    <x v="1"/>
  </r>
  <r>
    <x v="2"/>
    <x v="2"/>
    <x v="2"/>
    <x v="2"/>
    <x v="2"/>
    <x v="2"/>
    <x v="2"/>
  </r>
  <r>
    <x v="3"/>
    <x v="3"/>
    <x v="3"/>
    <x v="3"/>
    <x v="3"/>
    <x v="3"/>
    <x v="3"/>
  </r>
  <r>
    <x v="4"/>
    <x v="4"/>
    <x v="0"/>
    <x v="4"/>
    <x v="4"/>
    <x v="4"/>
    <x v="4"/>
  </r>
  <r>
    <x v="5"/>
    <x v="5"/>
    <x v="1"/>
    <x v="5"/>
    <x v="5"/>
    <x v="5"/>
    <x v="5"/>
  </r>
  <r>
    <x v="6"/>
    <x v="6"/>
    <x v="2"/>
    <x v="5"/>
    <x v="6"/>
    <x v="6"/>
    <x v="6"/>
  </r>
  <r>
    <x v="7"/>
    <x v="7"/>
    <x v="4"/>
    <x v="6"/>
    <x v="7"/>
    <x v="7"/>
    <x v="7"/>
  </r>
  <r>
    <x v="8"/>
    <x v="8"/>
    <x v="0"/>
    <x v="5"/>
    <x v="8"/>
    <x v="8"/>
    <x v="8"/>
  </r>
  <r>
    <x v="9"/>
    <x v="9"/>
    <x v="3"/>
    <x v="7"/>
    <x v="9"/>
    <x v="9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865F62-F661-45B3-898F-CEA7193447B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>
  <location ref="K3:L9" firstHeaderRow="1" firstDataRow="1" firstDataCol="1"/>
  <pivotFields count="7"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 sortType="ascending">
      <items count="11">
        <item x="0"/>
        <item x="4"/>
        <item x="8"/>
        <item x="6"/>
        <item x="3"/>
        <item x="9"/>
        <item x="2"/>
        <item x="1"/>
        <item x="5"/>
        <item x="7"/>
        <item t="default"/>
      </items>
    </pivotField>
    <pivotField axis="axisRow" showAll="0" sortType="descending">
      <items count="6">
        <item x="2"/>
        <item x="4"/>
        <item x="0"/>
        <item x="1"/>
        <item x="3"/>
        <item t="default"/>
      </items>
    </pivotField>
    <pivotField showAll="0">
      <items count="9">
        <item x="3"/>
        <item x="0"/>
        <item x="7"/>
        <item x="1"/>
        <item x="5"/>
        <item x="6"/>
        <item x="2"/>
        <item x="4"/>
        <item t="default"/>
      </items>
    </pivotField>
    <pivotField dataField="1" showAll="0">
      <items count="11">
        <item x="1"/>
        <item x="7"/>
        <item x="2"/>
        <item x="3"/>
        <item x="0"/>
        <item x="9"/>
        <item x="4"/>
        <item x="5"/>
        <item x="6"/>
        <item x="8"/>
        <item t="default"/>
      </items>
    </pivotField>
    <pivotField showAll="0">
      <items count="11">
        <item x="7"/>
        <item x="8"/>
        <item x="6"/>
        <item x="1"/>
        <item x="9"/>
        <item x="5"/>
        <item x="0"/>
        <item x="2"/>
        <item x="3"/>
        <item x="4"/>
        <item t="default"/>
      </items>
    </pivotField>
    <pivotField showAll="0">
      <items count="11">
        <item x="0"/>
        <item x="4"/>
        <item x="8"/>
        <item x="6"/>
        <item x="3"/>
        <item x="9"/>
        <item x="2"/>
        <item x="1"/>
        <item x="5"/>
        <item x="7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ary" fld="4" baseField="0" baseItem="0"/>
  </dataFields>
  <chartFormats count="3">
    <chartFormat chart="1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C2FA51-F28A-4672-82A3-28F3C28E402F}" name="Table1" displayName="Table1" ref="A1:H11" totalsRowShown="0" headerRowDxfId="13" dataDxfId="11" headerRowBorderDxfId="12" tableBorderDxfId="10" totalsRowBorderDxfId="9">
  <autoFilter ref="A1:H11" xr:uid="{C7C2FA51-F28A-4672-82A3-28F3C28E402F}"/>
  <tableColumns count="8">
    <tableColumn id="1" xr3:uid="{B6A04C28-6978-4BD6-93D6-F36E22D95A4D}" name="Employee ID" dataDxfId="8"/>
    <tableColumn id="2" xr3:uid="{D32D0119-5B6F-488D-9B6A-53FC846DF48F}" name="Employee Name" dataDxfId="7"/>
    <tableColumn id="3" xr3:uid="{1B923784-B9BF-40ED-9612-E443CB3AF70C}" name="Department" dataDxfId="6"/>
    <tableColumn id="4" xr3:uid="{6250BB98-5D61-4360-8D16-B6F60858F8F7}" name="Designation" dataDxfId="5"/>
    <tableColumn id="5" xr3:uid="{5DAC13A2-3A51-46FD-B5B5-D7A84E87818C}" name="Salary" dataDxfId="4"/>
    <tableColumn id="10" xr3:uid="{D2AE19FC-F19D-436E-BDEC-4EBE43B71FF4}" name="Bonus" dataDxfId="3">
      <calculatedColumnFormula>E2*10%</calculatedColumnFormula>
    </tableColumn>
    <tableColumn id="6" xr3:uid="{1B93756F-7C02-42BE-985C-990D89651B1D}" name="City" dataDxfId="2"/>
    <tableColumn id="7" xr3:uid="{5DC034BA-5EAF-4221-9EF5-7DF7148992D2}" name="Email" dataDxfId="1" dataCellStyle="Hyperlink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ohit@company.com" TargetMode="External"/><Relationship Id="rId13" Type="http://schemas.openxmlformats.org/officeDocument/2006/relationships/table" Target="../tables/table1.xml"/><Relationship Id="rId3" Type="http://schemas.openxmlformats.org/officeDocument/2006/relationships/hyperlink" Target="mailto:rahul@company.com" TargetMode="External"/><Relationship Id="rId7" Type="http://schemas.openxmlformats.org/officeDocument/2006/relationships/hyperlink" Target="mailto:riya@company.com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mailto:aditya@company.com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mailto:aman@company.com" TargetMode="External"/><Relationship Id="rId11" Type="http://schemas.openxmlformats.org/officeDocument/2006/relationships/hyperlink" Target="mailto:pooja@company.com" TargetMode="External"/><Relationship Id="rId5" Type="http://schemas.openxmlformats.org/officeDocument/2006/relationships/hyperlink" Target="mailto:neha@company.com" TargetMode="External"/><Relationship Id="rId10" Type="http://schemas.openxmlformats.org/officeDocument/2006/relationships/hyperlink" Target="mailto:karan@company.com" TargetMode="External"/><Relationship Id="rId4" Type="http://schemas.openxmlformats.org/officeDocument/2006/relationships/hyperlink" Target="mailto:priya@company.com" TargetMode="External"/><Relationship Id="rId9" Type="http://schemas.openxmlformats.org/officeDocument/2006/relationships/hyperlink" Target="mailto:sneha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8E2CE-C439-4C93-8B17-EC317410C80A}">
  <sheetPr codeName="Sheet1"/>
  <dimension ref="A1:V64"/>
  <sheetViews>
    <sheetView tabSelected="1" zoomScale="57" workbookViewId="0">
      <selection activeCell="N45" sqref="N45"/>
    </sheetView>
  </sheetViews>
  <sheetFormatPr defaultRowHeight="21" x14ac:dyDescent="0.4"/>
  <cols>
    <col min="1" max="1" width="23.109375" style="4" customWidth="1"/>
    <col min="2" max="2" width="26.5546875" style="4" bestFit="1" customWidth="1"/>
    <col min="3" max="3" width="20.88671875" style="4" bestFit="1" customWidth="1"/>
    <col min="4" max="4" width="22.88671875" style="4" bestFit="1" customWidth="1"/>
    <col min="5" max="6" width="21.6640625" style="4" customWidth="1"/>
    <col min="7" max="7" width="20.109375" style="4" customWidth="1"/>
    <col min="8" max="8" width="35.5546875" style="4" customWidth="1"/>
    <col min="9" max="9" width="9.44140625" style="4" customWidth="1"/>
    <col min="10" max="10" width="14" style="4" bestFit="1" customWidth="1"/>
    <col min="11" max="11" width="17.88671875" style="4" bestFit="1" customWidth="1"/>
    <col min="12" max="12" width="16.6640625" style="4" bestFit="1" customWidth="1"/>
    <col min="13" max="21" width="6.33203125" style="4" bestFit="1" customWidth="1"/>
    <col min="22" max="22" width="11.21875" style="4" bestFit="1" customWidth="1"/>
    <col min="23" max="16384" width="8.88671875" style="4"/>
  </cols>
  <sheetData>
    <row r="1" spans="1:22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70</v>
      </c>
      <c r="G1" s="2" t="s">
        <v>5</v>
      </c>
      <c r="H1" s="3" t="s">
        <v>6</v>
      </c>
      <c r="K1"/>
      <c r="L1"/>
      <c r="M1"/>
      <c r="N1"/>
      <c r="O1"/>
      <c r="P1"/>
      <c r="Q1"/>
      <c r="R1"/>
      <c r="S1"/>
      <c r="T1"/>
      <c r="U1"/>
      <c r="V1"/>
    </row>
    <row r="2" spans="1:22" x14ac:dyDescent="0.4">
      <c r="A2" s="5" t="s">
        <v>7</v>
      </c>
      <c r="B2" s="6" t="s">
        <v>8</v>
      </c>
      <c r="C2" s="6" t="s">
        <v>9</v>
      </c>
      <c r="D2" s="6" t="s">
        <v>10</v>
      </c>
      <c r="E2" s="6">
        <v>65000</v>
      </c>
      <c r="F2" s="6">
        <f t="shared" ref="F2:F11" si="0">E2*10%</f>
        <v>6500</v>
      </c>
      <c r="G2" s="6" t="s">
        <v>11</v>
      </c>
      <c r="H2" s="7" t="s">
        <v>12</v>
      </c>
      <c r="J2" s="8"/>
      <c r="K2"/>
      <c r="L2"/>
      <c r="M2"/>
      <c r="N2"/>
      <c r="O2"/>
      <c r="P2"/>
      <c r="Q2"/>
      <c r="R2"/>
      <c r="S2"/>
      <c r="T2"/>
      <c r="U2"/>
      <c r="V2"/>
    </row>
    <row r="3" spans="1:22" x14ac:dyDescent="0.4">
      <c r="A3" s="5" t="s">
        <v>13</v>
      </c>
      <c r="B3" s="6" t="s">
        <v>14</v>
      </c>
      <c r="C3" s="6" t="s">
        <v>15</v>
      </c>
      <c r="D3" s="6" t="s">
        <v>16</v>
      </c>
      <c r="E3" s="6">
        <v>45000</v>
      </c>
      <c r="F3" s="6">
        <f t="shared" si="0"/>
        <v>4500</v>
      </c>
      <c r="G3" s="6" t="s">
        <v>17</v>
      </c>
      <c r="H3" s="7" t="s">
        <v>18</v>
      </c>
      <c r="K3" s="16" t="s">
        <v>67</v>
      </c>
      <c r="L3" t="s">
        <v>69</v>
      </c>
      <c r="M3"/>
      <c r="N3"/>
      <c r="O3"/>
      <c r="P3"/>
      <c r="Q3"/>
      <c r="R3"/>
      <c r="S3"/>
      <c r="T3"/>
      <c r="U3"/>
      <c r="V3"/>
    </row>
    <row r="4" spans="1:22" x14ac:dyDescent="0.4">
      <c r="A4" s="5" t="s">
        <v>19</v>
      </c>
      <c r="B4" s="6" t="s">
        <v>20</v>
      </c>
      <c r="C4" s="6" t="s">
        <v>21</v>
      </c>
      <c r="D4" s="6" t="s">
        <v>22</v>
      </c>
      <c r="E4" s="6">
        <v>55000</v>
      </c>
      <c r="F4" s="6">
        <f t="shared" si="0"/>
        <v>5500</v>
      </c>
      <c r="G4" s="6" t="s">
        <v>23</v>
      </c>
      <c r="H4" s="7" t="s">
        <v>24</v>
      </c>
      <c r="K4" s="17" t="s">
        <v>21</v>
      </c>
      <c r="L4" s="27">
        <v>145000</v>
      </c>
      <c r="M4"/>
      <c r="N4"/>
      <c r="O4"/>
      <c r="P4"/>
      <c r="Q4"/>
      <c r="R4"/>
      <c r="S4"/>
      <c r="T4"/>
      <c r="U4"/>
      <c r="V4"/>
    </row>
    <row r="5" spans="1:22" x14ac:dyDescent="0.4">
      <c r="A5" s="5" t="s">
        <v>25</v>
      </c>
      <c r="B5" s="6" t="s">
        <v>26</v>
      </c>
      <c r="C5" s="6" t="s">
        <v>27</v>
      </c>
      <c r="D5" s="6" t="s">
        <v>28</v>
      </c>
      <c r="E5" s="6">
        <v>60000</v>
      </c>
      <c r="F5" s="6">
        <f t="shared" si="0"/>
        <v>6000</v>
      </c>
      <c r="G5" s="6" t="s">
        <v>29</v>
      </c>
      <c r="H5" s="7" t="s">
        <v>30</v>
      </c>
      <c r="J5" s="12"/>
      <c r="K5" s="17" t="s">
        <v>47</v>
      </c>
      <c r="L5" s="27">
        <v>50000</v>
      </c>
      <c r="M5"/>
      <c r="N5"/>
      <c r="O5"/>
      <c r="P5"/>
      <c r="Q5"/>
      <c r="R5"/>
      <c r="S5"/>
      <c r="T5"/>
      <c r="U5"/>
      <c r="V5"/>
    </row>
    <row r="6" spans="1:22" ht="42" x14ac:dyDescent="0.4">
      <c r="A6" s="5" t="s">
        <v>31</v>
      </c>
      <c r="B6" s="6" t="s">
        <v>32</v>
      </c>
      <c r="C6" s="6" t="s">
        <v>9</v>
      </c>
      <c r="D6" s="6" t="s">
        <v>33</v>
      </c>
      <c r="E6" s="6">
        <v>80000</v>
      </c>
      <c r="F6" s="6">
        <f t="shared" si="0"/>
        <v>8000</v>
      </c>
      <c r="G6" s="6" t="s">
        <v>34</v>
      </c>
      <c r="H6" s="7" t="s">
        <v>35</v>
      </c>
      <c r="K6" s="17" t="s">
        <v>9</v>
      </c>
      <c r="L6" s="27">
        <v>240000</v>
      </c>
      <c r="M6"/>
      <c r="N6"/>
      <c r="O6"/>
      <c r="P6"/>
      <c r="Q6"/>
      <c r="R6"/>
      <c r="S6"/>
      <c r="T6"/>
      <c r="U6"/>
      <c r="V6"/>
    </row>
    <row r="7" spans="1:22" x14ac:dyDescent="0.4">
      <c r="A7" s="5" t="s">
        <v>36</v>
      </c>
      <c r="B7" s="6" t="s">
        <v>37</v>
      </c>
      <c r="C7" s="6" t="s">
        <v>15</v>
      </c>
      <c r="D7" s="6" t="s">
        <v>38</v>
      </c>
      <c r="E7" s="6">
        <v>85000</v>
      </c>
      <c r="F7" s="6">
        <f t="shared" si="0"/>
        <v>8500</v>
      </c>
      <c r="G7" s="6" t="s">
        <v>39</v>
      </c>
      <c r="H7" s="7" t="s">
        <v>40</v>
      </c>
      <c r="K7" s="17" t="s">
        <v>15</v>
      </c>
      <c r="L7" s="27">
        <v>130000</v>
      </c>
      <c r="M7"/>
      <c r="N7"/>
      <c r="O7"/>
      <c r="P7"/>
      <c r="Q7"/>
      <c r="R7"/>
      <c r="S7"/>
      <c r="T7"/>
      <c r="U7"/>
      <c r="V7"/>
    </row>
    <row r="8" spans="1:22" x14ac:dyDescent="0.4">
      <c r="A8" s="5" t="s">
        <v>41</v>
      </c>
      <c r="B8" s="6" t="s">
        <v>42</v>
      </c>
      <c r="C8" s="6" t="s">
        <v>21</v>
      </c>
      <c r="D8" s="6" t="s">
        <v>38</v>
      </c>
      <c r="E8" s="6">
        <v>90000</v>
      </c>
      <c r="F8" s="6">
        <f t="shared" si="0"/>
        <v>9000</v>
      </c>
      <c r="G8" s="6" t="s">
        <v>43</v>
      </c>
      <c r="H8" s="7" t="s">
        <v>44</v>
      </c>
      <c r="K8" s="17" t="s">
        <v>27</v>
      </c>
      <c r="L8" s="27">
        <v>130000</v>
      </c>
      <c r="M8"/>
      <c r="N8"/>
      <c r="O8"/>
      <c r="P8"/>
      <c r="Q8"/>
      <c r="R8"/>
      <c r="S8"/>
      <c r="T8"/>
      <c r="U8"/>
      <c r="V8"/>
    </row>
    <row r="9" spans="1:22" ht="42" x14ac:dyDescent="0.4">
      <c r="A9" s="5" t="s">
        <v>45</v>
      </c>
      <c r="B9" s="6" t="s">
        <v>46</v>
      </c>
      <c r="C9" s="6" t="s">
        <v>47</v>
      </c>
      <c r="D9" s="6" t="s">
        <v>48</v>
      </c>
      <c r="E9" s="6">
        <v>50000</v>
      </c>
      <c r="F9" s="6">
        <f t="shared" si="0"/>
        <v>5000</v>
      </c>
      <c r="G9" s="6" t="s">
        <v>49</v>
      </c>
      <c r="H9" s="7" t="s">
        <v>50</v>
      </c>
      <c r="K9" s="17" t="s">
        <v>68</v>
      </c>
      <c r="L9" s="27">
        <v>695000</v>
      </c>
      <c r="M9"/>
      <c r="N9"/>
      <c r="O9"/>
      <c r="P9"/>
      <c r="Q9"/>
      <c r="R9"/>
      <c r="S9"/>
      <c r="T9"/>
      <c r="U9"/>
      <c r="V9"/>
    </row>
    <row r="10" spans="1:22" x14ac:dyDescent="0.4">
      <c r="A10" s="5" t="s">
        <v>51</v>
      </c>
      <c r="B10" s="6" t="s">
        <v>52</v>
      </c>
      <c r="C10" s="6" t="s">
        <v>9</v>
      </c>
      <c r="D10" s="6" t="s">
        <v>38</v>
      </c>
      <c r="E10" s="6">
        <v>95000</v>
      </c>
      <c r="F10" s="6">
        <f t="shared" si="0"/>
        <v>9500</v>
      </c>
      <c r="G10" s="6" t="s">
        <v>53</v>
      </c>
      <c r="H10" s="7" t="s">
        <v>54</v>
      </c>
      <c r="K10"/>
      <c r="L10"/>
      <c r="M10"/>
      <c r="N10"/>
      <c r="O10"/>
      <c r="P10"/>
      <c r="Q10"/>
      <c r="R10"/>
      <c r="S10"/>
      <c r="T10"/>
      <c r="U10"/>
      <c r="V10"/>
    </row>
    <row r="11" spans="1:22" x14ac:dyDescent="0.4">
      <c r="A11" s="9" t="s">
        <v>55</v>
      </c>
      <c r="B11" s="10" t="s">
        <v>56</v>
      </c>
      <c r="C11" s="10" t="s">
        <v>27</v>
      </c>
      <c r="D11" s="10" t="s">
        <v>57</v>
      </c>
      <c r="E11" s="10">
        <v>70000</v>
      </c>
      <c r="F11" s="10">
        <f t="shared" si="0"/>
        <v>7000</v>
      </c>
      <c r="G11" s="10" t="s">
        <v>58</v>
      </c>
      <c r="H11" s="11" t="s">
        <v>59</v>
      </c>
      <c r="K11"/>
      <c r="L11"/>
      <c r="M11"/>
      <c r="N11"/>
      <c r="O11"/>
      <c r="P11"/>
      <c r="Q11"/>
      <c r="R11"/>
      <c r="S11"/>
      <c r="T11"/>
      <c r="U11"/>
      <c r="V11"/>
    </row>
    <row r="12" spans="1:22" x14ac:dyDescent="0.4">
      <c r="A12" s="9"/>
      <c r="B12" s="10"/>
      <c r="C12" s="10"/>
      <c r="D12" s="10"/>
      <c r="E12" s="10"/>
      <c r="F12" s="10"/>
      <c r="G12" s="10"/>
      <c r="H12" s="11"/>
      <c r="K12"/>
      <c r="L12"/>
      <c r="M12"/>
      <c r="N12"/>
      <c r="O12"/>
      <c r="P12"/>
      <c r="Q12"/>
      <c r="R12"/>
      <c r="S12"/>
      <c r="T12"/>
      <c r="U12"/>
      <c r="V12"/>
    </row>
    <row r="13" spans="1:22" ht="23.4" x14ac:dyDescent="0.4">
      <c r="A13" s="18" t="s">
        <v>60</v>
      </c>
      <c r="B13" s="20"/>
      <c r="C13" s="19" t="s">
        <v>61</v>
      </c>
      <c r="D13" s="10"/>
      <c r="E13" s="13" t="s">
        <v>62</v>
      </c>
      <c r="F13" s="13"/>
      <c r="G13" s="10"/>
      <c r="H13" s="11"/>
      <c r="K13"/>
      <c r="L13"/>
      <c r="M13"/>
      <c r="N13"/>
      <c r="O13"/>
      <c r="P13"/>
      <c r="Q13"/>
      <c r="R13"/>
      <c r="S13"/>
      <c r="T13"/>
      <c r="U13"/>
      <c r="V13"/>
    </row>
    <row r="14" spans="1:22" x14ac:dyDescent="0.4">
      <c r="A14" s="15">
        <f>SUM(E2:E11)</f>
        <v>695000</v>
      </c>
      <c r="B14" s="21"/>
      <c r="C14" s="23">
        <f>AVERAGE(E2:E11)</f>
        <v>69500</v>
      </c>
      <c r="E14" s="15">
        <f>MAX(E2:E11)</f>
        <v>95000</v>
      </c>
      <c r="F14" s="15"/>
      <c r="K14"/>
      <c r="L14"/>
      <c r="M14"/>
      <c r="N14"/>
      <c r="O14"/>
      <c r="P14"/>
      <c r="Q14"/>
      <c r="R14"/>
      <c r="S14"/>
      <c r="T14"/>
      <c r="U14"/>
      <c r="V14"/>
    </row>
    <row r="15" spans="1:22" x14ac:dyDescent="0.4">
      <c r="K15"/>
      <c r="L15"/>
      <c r="M15"/>
      <c r="N15"/>
      <c r="O15"/>
      <c r="P15"/>
      <c r="Q15"/>
      <c r="R15"/>
      <c r="S15"/>
      <c r="T15"/>
      <c r="U15"/>
      <c r="V15"/>
    </row>
    <row r="16" spans="1:22" x14ac:dyDescent="0.4">
      <c r="A16" s="14" t="s">
        <v>63</v>
      </c>
      <c r="C16" s="14" t="s">
        <v>64</v>
      </c>
      <c r="E16" s="14" t="s">
        <v>65</v>
      </c>
      <c r="F16" s="14"/>
      <c r="K16"/>
      <c r="L16"/>
      <c r="M16"/>
      <c r="N16"/>
      <c r="O16"/>
      <c r="P16"/>
      <c r="Q16"/>
      <c r="R16"/>
      <c r="S16"/>
      <c r="T16"/>
      <c r="U16"/>
      <c r="V16"/>
    </row>
    <row r="17" spans="1:22" x14ac:dyDescent="0.4">
      <c r="A17" s="15">
        <f>MIN(E2:E11)</f>
        <v>45000</v>
      </c>
      <c r="C17" s="24">
        <f>COUNTA(A2:A11)</f>
        <v>10</v>
      </c>
      <c r="E17" s="24">
        <f>COUNTIF(C2:C11,"HR")</f>
        <v>2</v>
      </c>
      <c r="F17" s="24"/>
      <c r="K17"/>
      <c r="L17"/>
      <c r="M17"/>
      <c r="N17"/>
      <c r="O17"/>
      <c r="P17"/>
      <c r="Q17"/>
      <c r="R17"/>
      <c r="S17"/>
      <c r="T17"/>
      <c r="U17"/>
      <c r="V17"/>
    </row>
    <row r="18" spans="1:22" x14ac:dyDescent="0.4">
      <c r="K18"/>
      <c r="L18"/>
      <c r="M18"/>
      <c r="N18"/>
      <c r="O18"/>
      <c r="P18"/>
      <c r="Q18"/>
      <c r="R18"/>
      <c r="S18"/>
      <c r="T18"/>
      <c r="U18"/>
      <c r="V18"/>
    </row>
    <row r="19" spans="1:22" x14ac:dyDescent="0.4">
      <c r="A19" s="14" t="s">
        <v>66</v>
      </c>
      <c r="C19" s="26" t="s">
        <v>71</v>
      </c>
      <c r="E19" s="25"/>
      <c r="K19"/>
      <c r="L19"/>
      <c r="M19"/>
      <c r="N19"/>
      <c r="O19"/>
      <c r="P19"/>
      <c r="Q19"/>
      <c r="R19"/>
      <c r="S19"/>
      <c r="T19"/>
      <c r="U19"/>
      <c r="V19"/>
    </row>
    <row r="20" spans="1:22" x14ac:dyDescent="0.4">
      <c r="A20" s="15">
        <f>SUMIF(C2:C11,"Sales",E2:E11)</f>
        <v>145000</v>
      </c>
      <c r="C20" s="24">
        <f>AVERAGEIF(C2:C11,"IT",E2:E11)</f>
        <v>80000</v>
      </c>
      <c r="E20" s="15"/>
      <c r="F20" s="15"/>
      <c r="K20"/>
      <c r="L20"/>
      <c r="M20"/>
      <c r="N20"/>
      <c r="O20"/>
      <c r="P20"/>
      <c r="Q20"/>
      <c r="R20"/>
      <c r="S20"/>
      <c r="T20"/>
      <c r="U20"/>
      <c r="V20"/>
    </row>
    <row r="21" spans="1:22" x14ac:dyDescent="0.4">
      <c r="K21"/>
      <c r="L21"/>
      <c r="M21"/>
      <c r="N21"/>
      <c r="O21"/>
      <c r="P21"/>
      <c r="Q21"/>
      <c r="R21"/>
      <c r="S21"/>
      <c r="T21"/>
      <c r="U21"/>
      <c r="V21"/>
    </row>
    <row r="22" spans="1:22" x14ac:dyDescent="0.4">
      <c r="A22" s="8"/>
      <c r="K22"/>
      <c r="L22"/>
      <c r="M22"/>
      <c r="N22"/>
      <c r="O22"/>
      <c r="P22"/>
      <c r="Q22"/>
      <c r="R22"/>
      <c r="S22"/>
      <c r="T22"/>
      <c r="U22"/>
      <c r="V22"/>
    </row>
    <row r="23" spans="1:22" x14ac:dyDescent="0.4">
      <c r="A23" s="22"/>
      <c r="K23"/>
      <c r="L23"/>
      <c r="M23"/>
      <c r="N23"/>
      <c r="O23"/>
      <c r="P23"/>
      <c r="Q23"/>
      <c r="R23"/>
      <c r="S23"/>
      <c r="T23"/>
      <c r="U23"/>
      <c r="V23"/>
    </row>
    <row r="24" spans="1:22" x14ac:dyDescent="0.4">
      <c r="K24"/>
      <c r="L24"/>
      <c r="M24"/>
      <c r="N24"/>
      <c r="O24"/>
      <c r="P24"/>
      <c r="Q24"/>
      <c r="R24"/>
      <c r="S24"/>
      <c r="T24"/>
      <c r="U24"/>
      <c r="V24"/>
    </row>
    <row r="25" spans="1:22" x14ac:dyDescent="0.4">
      <c r="K25"/>
      <c r="L25"/>
      <c r="M25"/>
      <c r="N25"/>
      <c r="O25"/>
      <c r="P25"/>
      <c r="Q25"/>
      <c r="R25"/>
      <c r="S25"/>
      <c r="T25"/>
      <c r="U25"/>
      <c r="V25"/>
    </row>
    <row r="26" spans="1:22" x14ac:dyDescent="0.4">
      <c r="K26"/>
      <c r="L26"/>
      <c r="M26"/>
      <c r="N26"/>
      <c r="O26"/>
      <c r="P26"/>
      <c r="Q26"/>
      <c r="R26"/>
      <c r="S26"/>
      <c r="T26"/>
      <c r="U26"/>
      <c r="V26"/>
    </row>
    <row r="27" spans="1:22" x14ac:dyDescent="0.4">
      <c r="K27"/>
      <c r="L27"/>
      <c r="M27"/>
      <c r="N27"/>
      <c r="O27"/>
      <c r="P27"/>
      <c r="Q27"/>
      <c r="R27"/>
      <c r="S27"/>
      <c r="T27"/>
      <c r="U27"/>
      <c r="V27"/>
    </row>
    <row r="28" spans="1:22" x14ac:dyDescent="0.4">
      <c r="K28"/>
      <c r="L28"/>
      <c r="M28"/>
      <c r="N28"/>
      <c r="O28"/>
      <c r="P28"/>
      <c r="Q28"/>
      <c r="R28"/>
      <c r="S28"/>
      <c r="T28"/>
      <c r="U28"/>
      <c r="V28"/>
    </row>
    <row r="29" spans="1:22" x14ac:dyDescent="0.4">
      <c r="K29"/>
      <c r="L29"/>
      <c r="M29"/>
      <c r="N29"/>
      <c r="O29"/>
      <c r="P29"/>
      <c r="Q29"/>
      <c r="R29"/>
      <c r="S29"/>
      <c r="T29"/>
      <c r="U29"/>
      <c r="V29"/>
    </row>
    <row r="30" spans="1:22" x14ac:dyDescent="0.4">
      <c r="K30"/>
      <c r="L30"/>
      <c r="M30"/>
      <c r="N30"/>
      <c r="O30"/>
      <c r="P30"/>
      <c r="Q30"/>
      <c r="R30"/>
      <c r="S30"/>
      <c r="T30"/>
      <c r="U30"/>
      <c r="V30"/>
    </row>
    <row r="31" spans="1:22" x14ac:dyDescent="0.4">
      <c r="K31"/>
      <c r="L31"/>
      <c r="M31"/>
      <c r="N31"/>
      <c r="O31"/>
      <c r="P31"/>
      <c r="Q31"/>
      <c r="R31"/>
      <c r="S31"/>
      <c r="T31"/>
      <c r="U31"/>
      <c r="V31"/>
    </row>
    <row r="32" spans="1:22" x14ac:dyDescent="0.4">
      <c r="K32"/>
      <c r="L32"/>
      <c r="M32"/>
      <c r="N32"/>
      <c r="O32"/>
      <c r="P32"/>
      <c r="Q32"/>
      <c r="R32"/>
      <c r="S32"/>
      <c r="T32"/>
      <c r="U32"/>
      <c r="V32"/>
    </row>
    <row r="33" spans="11:22" x14ac:dyDescent="0.4">
      <c r="K33"/>
      <c r="L33"/>
      <c r="M33"/>
      <c r="N33"/>
      <c r="O33"/>
      <c r="P33"/>
      <c r="Q33"/>
      <c r="R33"/>
      <c r="S33"/>
      <c r="T33"/>
      <c r="U33"/>
      <c r="V33"/>
    </row>
    <row r="34" spans="11:22" x14ac:dyDescent="0.4">
      <c r="K34"/>
      <c r="L34"/>
      <c r="M34"/>
      <c r="N34"/>
      <c r="O34"/>
      <c r="P34"/>
      <c r="Q34"/>
      <c r="R34"/>
      <c r="S34"/>
      <c r="T34"/>
      <c r="U34"/>
      <c r="V34"/>
    </row>
    <row r="35" spans="11:22" x14ac:dyDescent="0.4">
      <c r="K35"/>
      <c r="L35"/>
      <c r="M35"/>
      <c r="N35"/>
      <c r="O35"/>
      <c r="P35"/>
      <c r="Q35"/>
      <c r="R35"/>
      <c r="S35"/>
      <c r="T35"/>
      <c r="U35"/>
      <c r="V35"/>
    </row>
    <row r="36" spans="11:22" x14ac:dyDescent="0.4">
      <c r="K36"/>
      <c r="L36"/>
      <c r="M36"/>
      <c r="N36"/>
      <c r="O36"/>
      <c r="P36"/>
      <c r="Q36"/>
      <c r="R36"/>
      <c r="S36"/>
      <c r="T36"/>
      <c r="U36"/>
      <c r="V36"/>
    </row>
    <row r="37" spans="11:22" x14ac:dyDescent="0.4">
      <c r="K37"/>
      <c r="L37"/>
      <c r="M37"/>
      <c r="N37"/>
      <c r="O37"/>
      <c r="P37"/>
      <c r="Q37"/>
      <c r="R37"/>
      <c r="S37"/>
      <c r="T37"/>
      <c r="U37"/>
      <c r="V37"/>
    </row>
    <row r="38" spans="11:22" x14ac:dyDescent="0.4">
      <c r="K38"/>
      <c r="L38"/>
      <c r="M38"/>
      <c r="N38"/>
      <c r="O38"/>
      <c r="P38"/>
      <c r="Q38"/>
      <c r="R38"/>
      <c r="S38"/>
      <c r="T38"/>
      <c r="U38"/>
      <c r="V38"/>
    </row>
    <row r="39" spans="11:22" x14ac:dyDescent="0.4">
      <c r="K39"/>
      <c r="L39"/>
      <c r="M39"/>
      <c r="N39"/>
      <c r="O39"/>
      <c r="P39"/>
      <c r="Q39"/>
      <c r="R39"/>
      <c r="S39"/>
      <c r="T39"/>
      <c r="U39"/>
      <c r="V39"/>
    </row>
    <row r="40" spans="11:22" x14ac:dyDescent="0.4">
      <c r="K40"/>
      <c r="L40"/>
      <c r="M40"/>
      <c r="N40"/>
      <c r="O40"/>
      <c r="P40"/>
      <c r="Q40"/>
      <c r="R40"/>
      <c r="S40"/>
      <c r="T40"/>
      <c r="U40"/>
      <c r="V40"/>
    </row>
    <row r="41" spans="11:22" x14ac:dyDescent="0.4">
      <c r="K41"/>
      <c r="L41"/>
      <c r="M41"/>
      <c r="N41"/>
      <c r="O41"/>
      <c r="P41"/>
      <c r="Q41"/>
      <c r="R41"/>
      <c r="S41"/>
      <c r="T41"/>
      <c r="U41"/>
      <c r="V41"/>
    </row>
    <row r="42" spans="11:22" x14ac:dyDescent="0.4">
      <c r="K42"/>
      <c r="L42"/>
      <c r="M42"/>
      <c r="N42"/>
      <c r="O42"/>
      <c r="P42"/>
      <c r="Q42"/>
      <c r="R42"/>
      <c r="S42"/>
      <c r="T42"/>
      <c r="U42"/>
      <c r="V42"/>
    </row>
    <row r="43" spans="11:22" x14ac:dyDescent="0.4">
      <c r="K43"/>
      <c r="L43"/>
      <c r="M43"/>
      <c r="N43"/>
      <c r="O43"/>
      <c r="P43"/>
      <c r="Q43"/>
      <c r="R43"/>
      <c r="S43"/>
      <c r="T43"/>
      <c r="U43"/>
      <c r="V43"/>
    </row>
    <row r="44" spans="11:22" x14ac:dyDescent="0.4">
      <c r="K44"/>
      <c r="L44"/>
    </row>
    <row r="45" spans="11:22" x14ac:dyDescent="0.4">
      <c r="K45"/>
      <c r="L45"/>
    </row>
    <row r="46" spans="11:22" x14ac:dyDescent="0.4">
      <c r="K46"/>
      <c r="L46"/>
    </row>
    <row r="47" spans="11:22" x14ac:dyDescent="0.4">
      <c r="K47"/>
      <c r="L47"/>
    </row>
    <row r="48" spans="11:22" x14ac:dyDescent="0.4">
      <c r="K48"/>
      <c r="L48"/>
    </row>
    <row r="49" spans="11:12" x14ac:dyDescent="0.4">
      <c r="K49"/>
      <c r="L49"/>
    </row>
    <row r="50" spans="11:12" x14ac:dyDescent="0.4">
      <c r="K50"/>
      <c r="L50"/>
    </row>
    <row r="51" spans="11:12" x14ac:dyDescent="0.4">
      <c r="K51"/>
      <c r="L51"/>
    </row>
    <row r="52" spans="11:12" x14ac:dyDescent="0.4">
      <c r="K52"/>
      <c r="L52"/>
    </row>
    <row r="53" spans="11:12" x14ac:dyDescent="0.4">
      <c r="K53"/>
      <c r="L53"/>
    </row>
    <row r="54" spans="11:12" x14ac:dyDescent="0.4">
      <c r="K54"/>
      <c r="L54"/>
    </row>
    <row r="55" spans="11:12" x14ac:dyDescent="0.4">
      <c r="K55"/>
      <c r="L55"/>
    </row>
    <row r="56" spans="11:12" x14ac:dyDescent="0.4">
      <c r="K56"/>
      <c r="L56"/>
    </row>
    <row r="57" spans="11:12" x14ac:dyDescent="0.4">
      <c r="K57"/>
      <c r="L57"/>
    </row>
    <row r="58" spans="11:12" x14ac:dyDescent="0.4">
      <c r="K58"/>
      <c r="L58"/>
    </row>
    <row r="59" spans="11:12" x14ac:dyDescent="0.4">
      <c r="K59"/>
      <c r="L59"/>
    </row>
    <row r="60" spans="11:12" x14ac:dyDescent="0.4">
      <c r="K60"/>
      <c r="L60"/>
    </row>
    <row r="61" spans="11:12" x14ac:dyDescent="0.4">
      <c r="K61"/>
      <c r="L61"/>
    </row>
    <row r="62" spans="11:12" x14ac:dyDescent="0.4">
      <c r="K62"/>
      <c r="L62"/>
    </row>
    <row r="63" spans="11:12" x14ac:dyDescent="0.4">
      <c r="K63"/>
      <c r="L63"/>
    </row>
    <row r="64" spans="11:12" x14ac:dyDescent="0.4">
      <c r="K64"/>
      <c r="L64"/>
    </row>
  </sheetData>
  <conditionalFormatting sqref="C2:C11">
    <cfRule type="expression" dxfId="0" priority="1">
      <formula>$C2="IT"</formula>
    </cfRule>
  </conditionalFormatting>
  <hyperlinks>
    <hyperlink ref="H2" r:id="rId2" display="mailto:aditya@company.com" xr:uid="{7157E16D-FE2B-4A3D-8B1A-0B13E5754254}"/>
    <hyperlink ref="H3" r:id="rId3" display="mailto:rahul@company.com" xr:uid="{BF2CDB97-6EA3-46EE-9936-415FEC93B381}"/>
    <hyperlink ref="H4" r:id="rId4" display="mailto:priya@company.com" xr:uid="{257649D7-B4A3-482E-A6A8-AF1661BC915C}"/>
    <hyperlink ref="H5" r:id="rId5" display="mailto:neha@company.com" xr:uid="{E95F52F5-F617-492A-80BB-8B7320192989}"/>
    <hyperlink ref="H6" r:id="rId6" display="mailto:aman@company.com" xr:uid="{7410274B-7B78-4ACD-A3A8-3BE12A4A3414}"/>
    <hyperlink ref="H7" r:id="rId7" display="mailto:riya@company.com" xr:uid="{C1075A34-E87A-4ED7-8280-765AE3B38E7F}"/>
    <hyperlink ref="H8" r:id="rId8" display="mailto:mohit@company.com" xr:uid="{FC2693EC-6331-4168-A852-0CE980B234E8}"/>
    <hyperlink ref="H9" r:id="rId9" display="mailto:sneha@company.com" xr:uid="{1B591866-8661-455C-8D95-A77D975678E9}"/>
    <hyperlink ref="H10" r:id="rId10" display="mailto:karan@company.com" xr:uid="{31231C30-FF69-4EFE-B947-7C53D8F83F53}"/>
    <hyperlink ref="H11" r:id="rId11" display="mailto:pooja@company.com" xr:uid="{34D9BFAA-A45C-42DE-BA6E-4A1EA2C4EB83}"/>
  </hyperlinks>
  <pageMargins left="0.7" right="0.7" top="0.75" bottom="0.75" header="0.3" footer="0.3"/>
  <drawing r:id="rId12"/>
  <tableParts count="1"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Singh</dc:creator>
  <cp:lastModifiedBy>Anurag Singh</cp:lastModifiedBy>
  <dcterms:created xsi:type="dcterms:W3CDTF">2026-08-01T14:35:34Z</dcterms:created>
  <dcterms:modified xsi:type="dcterms:W3CDTF">2026-08-05T11:39:28Z</dcterms:modified>
</cp:coreProperties>
</file>